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19200" windowHeight="6930" firstSheet="1" activeTab="1"/>
  </bookViews>
  <sheets>
    <sheet name="Emp.Categories" sheetId="5" state="hidden" r:id="rId1"/>
    <sheet name="Claim Form-Bikes" sheetId="8" r:id="rId2"/>
    <sheet name="Claim Form-Cars" sheetId="6" r:id="rId3"/>
  </sheets>
  <definedNames>
    <definedName name="_xlnm.Print_Area" localSheetId="1">'Claim Form-Bikes'!$A$1:$I$58</definedName>
    <definedName name="_xlnm.Print_Area" localSheetId="0">Emp.Categories!$A$1:$J$36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6" l="1"/>
  <c r="A5" i="6"/>
  <c r="D33" i="5" l="1"/>
  <c r="D32" i="5"/>
  <c r="D29" i="5"/>
  <c r="D27" i="5"/>
  <c r="D26" i="5"/>
  <c r="G28" i="6" l="1"/>
  <c r="G30" i="6" s="1"/>
  <c r="G31" i="6"/>
  <c r="G30" i="5"/>
  <c r="J30" i="5" s="1"/>
  <c r="I5" i="5"/>
  <c r="C6" i="5" s="1"/>
  <c r="F27" i="5" s="1"/>
  <c r="E26" i="5"/>
  <c r="G33" i="6" l="1"/>
  <c r="F29" i="5"/>
  <c r="F26" i="5"/>
  <c r="G26" i="5" s="1"/>
  <c r="F32" i="5"/>
  <c r="F33" i="5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H47" i="8" l="1"/>
  <c r="H49" i="8" s="1"/>
  <c r="H51" i="8" l="1"/>
  <c r="I33" i="5"/>
  <c r="E33" i="5"/>
  <c r="I27" i="5"/>
  <c r="E27" i="5"/>
  <c r="G27" i="5" s="1"/>
  <c r="I32" i="5"/>
  <c r="E32" i="5"/>
  <c r="I29" i="5"/>
  <c r="E29" i="5"/>
  <c r="I26" i="5"/>
  <c r="J26" i="5" s="1"/>
  <c r="G29" i="5" l="1"/>
  <c r="J29" i="5" s="1"/>
  <c r="J27" i="5"/>
  <c r="G32" i="5"/>
  <c r="J32" i="5" s="1"/>
  <c r="G33" i="5"/>
  <c r="J33" i="5" s="1"/>
</calcChain>
</file>

<file path=xl/sharedStrings.xml><?xml version="1.0" encoding="utf-8"?>
<sst xmlns="http://schemas.openxmlformats.org/spreadsheetml/2006/main" count="151" uniqueCount="96">
  <si>
    <t>The Employees Provided Company Maintained Cars</t>
  </si>
  <si>
    <t>The Employees Who Are Availing Rental Facility In Lieu of Cars</t>
  </si>
  <si>
    <t>The Employees Who Has No Company Car or Rental Facility</t>
  </si>
  <si>
    <t>The Employees Provided Company Maintained Bikes</t>
  </si>
  <si>
    <t>The Employees Who Are Availing Rental Facility In Lieu of Bikes</t>
  </si>
  <si>
    <t>The Employees Who Has No Company Bike or Rental Facility</t>
  </si>
  <si>
    <t>Category-I</t>
  </si>
  <si>
    <t>Category-II</t>
  </si>
  <si>
    <t>Category-III</t>
  </si>
  <si>
    <t>a</t>
  </si>
  <si>
    <t>b</t>
  </si>
  <si>
    <t>c</t>
  </si>
  <si>
    <t>d</t>
  </si>
  <si>
    <t>e</t>
  </si>
  <si>
    <t>f</t>
  </si>
  <si>
    <t>KM</t>
  </si>
  <si>
    <t>Rs.</t>
  </si>
  <si>
    <t>g</t>
  </si>
  <si>
    <t>S#</t>
  </si>
  <si>
    <t>Date</t>
  </si>
  <si>
    <t>Time</t>
  </si>
  <si>
    <t>From</t>
  </si>
  <si>
    <t>To</t>
  </si>
  <si>
    <t>Destination</t>
  </si>
  <si>
    <t>Purpose</t>
  </si>
  <si>
    <t>Mileage</t>
  </si>
  <si>
    <t>Remarks</t>
  </si>
  <si>
    <t>Total Mileage (KMs)</t>
  </si>
  <si>
    <t>Claimed By</t>
  </si>
  <si>
    <t>Verified By</t>
  </si>
  <si>
    <t>Approved  By</t>
  </si>
  <si>
    <t>___________</t>
  </si>
  <si>
    <t>The Employees To Whom Official Cars/Vehicles Allocated.</t>
  </si>
  <si>
    <t>The vehicles’ repair &amp; maintenance facility is provided by the Co.</t>
  </si>
  <si>
    <t>The Employees who are using own cars but are allowed rental of 33,000/- per month that includes repair &amp; maintenance.</t>
  </si>
  <si>
    <t>The Employees who are using their own cars/vehicles with fuel and repair &amp; maintenance.</t>
  </si>
  <si>
    <t>h</t>
  </si>
  <si>
    <t>_____________</t>
  </si>
  <si>
    <t>Vehicle Maintenance Per KM</t>
  </si>
  <si>
    <t>Average Mileage (KM) per Liter</t>
  </si>
  <si>
    <t>Total Fuel Consumption (Liters)</t>
  </si>
  <si>
    <t>Avarege Fuel Price Calculation</t>
  </si>
  <si>
    <t>Fuel Price on 15th of every month</t>
  </si>
  <si>
    <t>Fuel Price on 30th of every month</t>
  </si>
  <si>
    <t>Average Mileage of a Car per Liter</t>
  </si>
  <si>
    <t>Average Mileage of a Bike per Liter</t>
  </si>
  <si>
    <t xml:space="preserve">Category-II - </t>
  </si>
  <si>
    <r>
      <t xml:space="preserve">Fuel Claim Form (Car) - </t>
    </r>
    <r>
      <rPr>
        <b/>
        <i/>
        <u/>
        <sz val="11"/>
        <color theme="1"/>
        <rFont val="Calibri"/>
        <family val="2"/>
        <scheme val="minor"/>
      </rPr>
      <t>Attached</t>
    </r>
  </si>
  <si>
    <r>
      <t xml:space="preserve">Fuel Claim Form (Bike) - </t>
    </r>
    <r>
      <rPr>
        <b/>
        <i/>
        <u/>
        <sz val="11"/>
        <color theme="1"/>
        <rFont val="Calibri"/>
        <family val="2"/>
        <scheme val="minor"/>
      </rPr>
      <t>Attached</t>
    </r>
  </si>
  <si>
    <t>Fuel Rate per Liter (Average)
Rs.</t>
  </si>
  <si>
    <t>Fuel Claim
Rs.</t>
  </si>
  <si>
    <t>Maintenace Claim
Rs.</t>
  </si>
  <si>
    <t>Total Claim
Rs.</t>
  </si>
  <si>
    <t>Total Mileage Claim (KM)</t>
  </si>
  <si>
    <t>Average Fuel Consumption per Liter</t>
  </si>
  <si>
    <t>Policy</t>
  </si>
  <si>
    <t>Calculations</t>
  </si>
  <si>
    <t>Rupees</t>
  </si>
  <si>
    <t>Km</t>
  </si>
  <si>
    <t>Average Fuel Price as per Policy</t>
  </si>
  <si>
    <t>Rs. Per Ltr.</t>
  </si>
  <si>
    <t>Fuel Consumption (Liters) on Claimed Mileage</t>
  </si>
  <si>
    <t>Fuel Claim</t>
  </si>
  <si>
    <t>Repair &amp; Maintenace Claim</t>
  </si>
  <si>
    <t>Total Claim</t>
  </si>
  <si>
    <t>Verified and Posted By</t>
  </si>
  <si>
    <t>To be verify by Accounts Department</t>
  </si>
  <si>
    <t xml:space="preserve">Can claim fuel and Repair &amp; maintenance (repair &amp; maintenance-Car-2 &amp; bike-1) </t>
  </si>
  <si>
    <t>Fuel Claim Policy</t>
  </si>
  <si>
    <r>
      <t xml:space="preserve">Fuel Rate per Liter (Average) = </t>
    </r>
    <r>
      <rPr>
        <b/>
        <sz val="11"/>
        <color theme="1"/>
        <rFont val="Calibri"/>
        <family val="2"/>
        <scheme val="minor"/>
      </rPr>
      <t xml:space="preserve">(Fuel price on 1st of every month plus 15th of every month)/2 </t>
    </r>
  </si>
  <si>
    <t>Can only claim fuel, No claim of Repair &amp; Maintenance as it is already borne by company</t>
  </si>
  <si>
    <t>Can only claim fuel, No claim of Repair &amp; Maintenance as it is already included in monthly rental payment to Employee</t>
  </si>
  <si>
    <t xml:space="preserve">Fuel Consumption (Liters) </t>
  </si>
  <si>
    <t>1st of Month</t>
  </si>
  <si>
    <t>15th of Month</t>
  </si>
  <si>
    <t xml:space="preserve">Fuel Claim Form - for Bike Users </t>
  </si>
  <si>
    <t>Repair &amp; Maint. Claim</t>
  </si>
  <si>
    <t xml:space="preserve">Fuel Claim Form-For Cars User </t>
  </si>
  <si>
    <r>
      <t>Repair &amp; Maintenance per KM (</t>
    </r>
    <r>
      <rPr>
        <b/>
        <sz val="11"/>
        <color theme="1"/>
        <rFont val="Calibri"/>
        <family val="2"/>
        <scheme val="minor"/>
      </rPr>
      <t>Only for Category-III</t>
    </r>
    <r>
      <rPr>
        <sz val="11"/>
        <color theme="1"/>
        <rFont val="Calibri"/>
        <family val="2"/>
        <scheme val="minor"/>
      </rPr>
      <t>)</t>
    </r>
  </si>
  <si>
    <t>HeadOffice</t>
  </si>
  <si>
    <t>PIU</t>
  </si>
  <si>
    <t>04/12/2025</t>
  </si>
  <si>
    <t>Meeting with PIU</t>
  </si>
  <si>
    <t>Muhammad Usman</t>
  </si>
  <si>
    <t>03/12/2025</t>
  </si>
  <si>
    <t>02/12/2025</t>
  </si>
  <si>
    <t>Hexing Office</t>
  </si>
  <si>
    <t>Head Office</t>
  </si>
  <si>
    <t>For the installation of new firmware in TOD 4G meter</t>
  </si>
  <si>
    <t>For the installation of new firmware in TOD 3G meter</t>
  </si>
  <si>
    <t>04/12/2030</t>
  </si>
  <si>
    <t>04/12/2031</t>
  </si>
  <si>
    <t>PITC</t>
  </si>
  <si>
    <t>Providing Meter Reading Accessories</t>
  </si>
  <si>
    <t>For Meter Reading Accessories</t>
  </si>
  <si>
    <t>Muhammad Ahmad 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</si>
</sst>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.0_);_(* \(#,##0.0\);_(* &quot;-&quot;??_);_(@_)"/>
    <numFmt numFmtId="166" formatCode="_(* #,##0_);_(* \(#,##0\);_(* &quot;-&quot;??_);_(@_)"/>
    <numFmt numFmtId="167" formatCode="[$-409]d\-mmm\-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double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rgb="FFB2B2B2"/>
      </bottom>
      <diagonal/>
    </border>
    <border>
      <left/>
      <right/>
      <top style="medium">
        <color theme="1"/>
      </top>
      <bottom style="thin">
        <color rgb="FFB2B2B2"/>
      </bottom>
      <diagonal/>
    </border>
    <border>
      <left/>
      <right style="medium">
        <color theme="1"/>
      </right>
      <top style="medium">
        <color theme="1"/>
      </top>
      <bottom style="thin">
        <color rgb="FFB2B2B2"/>
      </bottom>
      <diagonal/>
    </border>
    <border>
      <left style="medium">
        <color theme="1"/>
      </left>
      <right/>
      <top/>
      <bottom/>
      <diagonal/>
    </border>
    <border>
      <left style="thin">
        <color rgb="FF7F7F7F"/>
      </left>
      <right style="medium">
        <color theme="1"/>
      </right>
      <top style="thin">
        <color rgb="FF7F7F7F"/>
      </top>
      <bottom style="thin">
        <color rgb="FF7F7F7F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 style="thin">
        <color indexed="64"/>
      </right>
      <top/>
      <bottom style="double">
        <color theme="1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4" borderId="10" applyNumberFormat="0" applyAlignment="0" applyProtection="0"/>
    <xf numFmtId="0" fontId="5" fillId="5" borderId="10" applyNumberFormat="0" applyAlignment="0" applyProtection="0"/>
    <xf numFmtId="0" fontId="6" fillId="0" borderId="11" applyNumberFormat="0" applyFill="0" applyAlignment="0" applyProtection="0"/>
    <xf numFmtId="0" fontId="1" fillId="6" borderId="12" applyNumberFormat="0" applyFont="0" applyAlignment="0" applyProtection="0"/>
    <xf numFmtId="0" fontId="1" fillId="8" borderId="0" applyNumberFormat="0" applyBorder="0" applyAlignment="0" applyProtection="0"/>
  </cellStyleXfs>
  <cellXfs count="121">
    <xf numFmtId="0" fontId="0" fillId="0" borderId="0" xfId="0"/>
    <xf numFmtId="0" fontId="0" fillId="0" borderId="7" xfId="0" applyBorder="1"/>
    <xf numFmtId="0" fontId="0" fillId="0" borderId="2" xfId="0" applyBorder="1"/>
    <xf numFmtId="0" fontId="2" fillId="0" borderId="1" xfId="0" applyFont="1" applyBorder="1" applyAlignment="1">
      <alignment horizontal="center"/>
    </xf>
    <xf numFmtId="165" fontId="0" fillId="0" borderId="0" xfId="1" applyNumberFormat="1" applyFont="1"/>
    <xf numFmtId="0" fontId="0" fillId="0" borderId="3" xfId="0" applyBorder="1"/>
    <xf numFmtId="0" fontId="0" fillId="0" borderId="0" xfId="0" applyBorder="1"/>
    <xf numFmtId="165" fontId="0" fillId="0" borderId="0" xfId="1" applyNumberFormat="1" applyFont="1" applyBorder="1"/>
    <xf numFmtId="0" fontId="0" fillId="0" borderId="9" xfId="0" applyBorder="1"/>
    <xf numFmtId="165" fontId="0" fillId="0" borderId="9" xfId="1" applyNumberFormat="1" applyFont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164" fontId="0" fillId="0" borderId="0" xfId="1" applyNumberFormat="1" applyFont="1"/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Fill="1" applyBorder="1"/>
    <xf numFmtId="0" fontId="0" fillId="0" borderId="0" xfId="0" applyAlignment="1">
      <alignment horizontal="justify" vertical="center"/>
    </xf>
    <xf numFmtId="0" fontId="2" fillId="0" borderId="0" xfId="0" applyFont="1"/>
    <xf numFmtId="0" fontId="0" fillId="0" borderId="2" xfId="0" quotePrefix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justify" vertical="center"/>
    </xf>
    <xf numFmtId="0" fontId="4" fillId="4" borderId="10" xfId="2" applyAlignment="1">
      <alignment horizontal="center" vertical="center"/>
    </xf>
    <xf numFmtId="166" fontId="6" fillId="0" borderId="11" xfId="4" applyNumberFormat="1" applyAlignment="1">
      <alignment horizontal="center" vertical="center"/>
    </xf>
    <xf numFmtId="165" fontId="4" fillId="4" borderId="10" xfId="2" applyNumberFormat="1"/>
    <xf numFmtId="165" fontId="4" fillId="4" borderId="10" xfId="2" applyNumberFormat="1" applyAlignment="1"/>
    <xf numFmtId="165" fontId="9" fillId="4" borderId="10" xfId="2" applyNumberFormat="1" applyFont="1"/>
    <xf numFmtId="165" fontId="9" fillId="0" borderId="11" xfId="4" applyNumberFormat="1" applyFont="1"/>
    <xf numFmtId="165" fontId="10" fillId="5" borderId="10" xfId="3" applyNumberFormat="1" applyFont="1"/>
    <xf numFmtId="165" fontId="9" fillId="0" borderId="0" xfId="1" applyNumberFormat="1" applyFont="1" applyBorder="1"/>
    <xf numFmtId="165" fontId="9" fillId="0" borderId="11" xfId="4" applyNumberFormat="1" applyFont="1" applyAlignment="1"/>
    <xf numFmtId="165" fontId="10" fillId="5" borderId="10" xfId="3" applyNumberFormat="1" applyFont="1" applyAlignment="1"/>
    <xf numFmtId="165" fontId="9" fillId="4" borderId="14" xfId="2" applyNumberFormat="1" applyFont="1" applyBorder="1"/>
    <xf numFmtId="165" fontId="10" fillId="5" borderId="14" xfId="3" applyNumberFormat="1" applyFont="1" applyBorder="1"/>
    <xf numFmtId="165" fontId="4" fillId="4" borderId="14" xfId="2" applyNumberFormat="1" applyBorder="1"/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wrapText="1"/>
    </xf>
    <xf numFmtId="166" fontId="10" fillId="5" borderId="14" xfId="3" applyNumberFormat="1" applyFont="1" applyBorder="1"/>
    <xf numFmtId="166" fontId="10" fillId="5" borderId="10" xfId="3" applyNumberFormat="1" applyFont="1"/>
    <xf numFmtId="166" fontId="9" fillId="0" borderId="0" xfId="1" applyNumberFormat="1" applyFont="1" applyBorder="1"/>
    <xf numFmtId="166" fontId="10" fillId="5" borderId="10" xfId="3" applyNumberFormat="1" applyFont="1" applyAlignment="1"/>
    <xf numFmtId="0" fontId="0" fillId="0" borderId="5" xfId="0" applyBorder="1"/>
    <xf numFmtId="0" fontId="0" fillId="0" borderId="15" xfId="0" applyBorder="1"/>
    <xf numFmtId="0" fontId="2" fillId="0" borderId="16" xfId="0" applyFont="1" applyBorder="1"/>
    <xf numFmtId="0" fontId="0" fillId="0" borderId="17" xfId="0" applyBorder="1"/>
    <xf numFmtId="0" fontId="11" fillId="0" borderId="0" xfId="0" applyFont="1"/>
    <xf numFmtId="0" fontId="0" fillId="0" borderId="18" xfId="0" applyBorder="1"/>
    <xf numFmtId="0" fontId="0" fillId="0" borderId="19" xfId="0" applyBorder="1"/>
    <xf numFmtId="166" fontId="0" fillId="0" borderId="0" xfId="1" applyNumberFormat="1" applyFont="1" applyBorder="1"/>
    <xf numFmtId="166" fontId="11" fillId="0" borderId="15" xfId="0" applyNumberFormat="1" applyFont="1" applyBorder="1"/>
    <xf numFmtId="0" fontId="11" fillId="0" borderId="0" xfId="0" applyFont="1" applyBorder="1"/>
    <xf numFmtId="0" fontId="2" fillId="0" borderId="0" xfId="0" applyFont="1" applyBorder="1"/>
    <xf numFmtId="167" fontId="0" fillId="0" borderId="0" xfId="0" applyNumberFormat="1" applyBorder="1"/>
    <xf numFmtId="0" fontId="0" fillId="0" borderId="23" xfId="0" applyBorder="1"/>
    <xf numFmtId="166" fontId="4" fillId="4" borderId="24" xfId="2" applyNumberFormat="1" applyBorder="1"/>
    <xf numFmtId="166" fontId="5" fillId="5" borderId="24" xfId="3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" xfId="0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1" fillId="0" borderId="0" xfId="0" applyFont="1" applyBorder="1" applyAlignment="1"/>
    <xf numFmtId="0" fontId="12" fillId="0" borderId="0" xfId="0" applyFont="1"/>
    <xf numFmtId="0" fontId="12" fillId="0" borderId="0" xfId="0" applyFont="1" applyAlignment="1">
      <alignment horizontal="justify" vertical="center"/>
    </xf>
    <xf numFmtId="0" fontId="14" fillId="0" borderId="0" xfId="0" applyFont="1"/>
    <xf numFmtId="0" fontId="1" fillId="9" borderId="0" xfId="6" applyFill="1"/>
    <xf numFmtId="0" fontId="1" fillId="9" borderId="0" xfId="6" applyFill="1" applyBorder="1"/>
    <xf numFmtId="0" fontId="1" fillId="9" borderId="0" xfId="6" applyFill="1" applyBorder="1" applyAlignment="1">
      <alignment horizontal="center"/>
    </xf>
    <xf numFmtId="0" fontId="1" fillId="9" borderId="28" xfId="6" applyFill="1" applyBorder="1"/>
    <xf numFmtId="0" fontId="1" fillId="9" borderId="3" xfId="6" applyFill="1" applyBorder="1"/>
    <xf numFmtId="166" fontId="1" fillId="9" borderId="29" xfId="6" applyNumberFormat="1" applyFill="1" applyBorder="1" applyAlignment="1">
      <alignment horizontal="center"/>
    </xf>
    <xf numFmtId="0" fontId="1" fillId="9" borderId="7" xfId="6" applyFill="1" applyBorder="1"/>
    <xf numFmtId="166" fontId="1" fillId="9" borderId="30" xfId="6" applyNumberFormat="1" applyFill="1" applyBorder="1" applyAlignment="1">
      <alignment horizontal="center"/>
    </xf>
    <xf numFmtId="0" fontId="1" fillId="9" borderId="8" xfId="6" applyFill="1" applyBorder="1"/>
    <xf numFmtId="0" fontId="1" fillId="9" borderId="29" xfId="6" applyFill="1" applyBorder="1"/>
    <xf numFmtId="167" fontId="1" fillId="9" borderId="3" xfId="6" applyNumberFormat="1" applyFill="1" applyBorder="1"/>
    <xf numFmtId="0" fontId="1" fillId="9" borderId="9" xfId="6" applyFill="1" applyBorder="1"/>
    <xf numFmtId="0" fontId="1" fillId="9" borderId="30" xfId="6" applyFill="1" applyBorder="1"/>
    <xf numFmtId="0" fontId="2" fillId="9" borderId="3" xfId="6" applyFont="1" applyFill="1" applyBorder="1"/>
    <xf numFmtId="0" fontId="2" fillId="9" borderId="6" xfId="6" applyFont="1" applyFill="1" applyBorder="1"/>
    <xf numFmtId="0" fontId="1" fillId="9" borderId="0" xfId="6" applyFill="1" applyBorder="1" applyAlignment="1">
      <alignment horizontal="right" vertical="center"/>
    </xf>
    <xf numFmtId="0" fontId="2" fillId="9" borderId="7" xfId="6" applyFont="1" applyFill="1" applyBorder="1"/>
    <xf numFmtId="164" fontId="10" fillId="9" borderId="0" xfId="3" applyNumberFormat="1" applyFont="1" applyFill="1" applyBorder="1" applyAlignment="1">
      <alignment horizontal="center" vertical="center"/>
    </xf>
    <xf numFmtId="2" fontId="10" fillId="9" borderId="0" xfId="3" applyNumberFormat="1" applyFont="1" applyFill="1" applyBorder="1" applyAlignment="1">
      <alignment horizontal="center" vertical="center"/>
    </xf>
    <xf numFmtId="164" fontId="2" fillId="9" borderId="0" xfId="6" applyNumberFormat="1" applyFont="1" applyFill="1" applyBorder="1" applyAlignment="1">
      <alignment horizontal="center" vertical="center"/>
    </xf>
    <xf numFmtId="0" fontId="1" fillId="10" borderId="0" xfId="6" applyFill="1" applyBorder="1" applyAlignment="1">
      <alignment horizontal="right" vertical="center"/>
    </xf>
    <xf numFmtId="0" fontId="0" fillId="10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/>
    </xf>
    <xf numFmtId="20" fontId="0" fillId="0" borderId="2" xfId="0" applyNumberFormat="1" applyBorder="1"/>
    <xf numFmtId="0" fontId="0" fillId="0" borderId="5" xfId="0" quotePrefix="1" applyBorder="1"/>
    <xf numFmtId="0" fontId="0" fillId="0" borderId="31" xfId="0" applyBorder="1"/>
    <xf numFmtId="0" fontId="2" fillId="0" borderId="32" xfId="0" applyFont="1" applyBorder="1"/>
    <xf numFmtId="16" fontId="0" fillId="0" borderId="2" xfId="0" quotePrefix="1" applyNumberFormat="1" applyBorder="1"/>
    <xf numFmtId="0" fontId="0" fillId="9" borderId="0" xfId="6" applyFont="1" applyFill="1" applyBorder="1"/>
    <xf numFmtId="0" fontId="2" fillId="0" borderId="2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20" xfId="5" applyFont="1" applyBorder="1" applyAlignment="1">
      <alignment horizontal="center"/>
    </xf>
    <xf numFmtId="0" fontId="2" fillId="6" borderId="21" xfId="5" applyFont="1" applyBorder="1" applyAlignment="1">
      <alignment horizontal="center"/>
    </xf>
    <xf numFmtId="0" fontId="2" fillId="6" borderId="22" xfId="5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1" fillId="0" borderId="17" xfId="0" applyFont="1" applyBorder="1" applyAlignment="1">
      <alignment horizontal="left"/>
    </xf>
    <xf numFmtId="0" fontId="0" fillId="9" borderId="3" xfId="6" applyFont="1" applyFill="1" applyBorder="1" applyAlignment="1">
      <alignment horizontal="left" wrapText="1"/>
    </xf>
    <xf numFmtId="0" fontId="1" fillId="9" borderId="3" xfId="6" applyFill="1" applyBorder="1" applyAlignment="1">
      <alignment horizontal="left" wrapText="1"/>
    </xf>
    <xf numFmtId="166" fontId="1" fillId="9" borderId="29" xfId="6" applyNumberFormat="1" applyFill="1" applyBorder="1" applyAlignment="1">
      <alignment horizontal="center" vertical="center"/>
    </xf>
    <xf numFmtId="0" fontId="11" fillId="9" borderId="0" xfId="6" applyFont="1" applyFill="1" applyBorder="1" applyAlignment="1">
      <alignment horizontal="left"/>
    </xf>
    <xf numFmtId="2" fontId="2" fillId="9" borderId="29" xfId="6" applyNumberFormat="1" applyFont="1" applyFill="1" applyBorder="1" applyAlignment="1">
      <alignment horizontal="right" vertical="center"/>
    </xf>
  </cellXfs>
  <cellStyles count="7">
    <cellStyle name="20% - Accent3" xfId="6" builtinId="38"/>
    <cellStyle name="Calculation" xfId="3" builtinId="22"/>
    <cellStyle name="Comma" xfId="1" builtinId="3"/>
    <cellStyle name="Input" xfId="2" builtinId="20"/>
    <cellStyle name="Linked Cell" xfId="4" builtinId="24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9"/>
  <sheetViews>
    <sheetView showGridLines="0" view="pageBreakPreview" zoomScale="70" zoomScaleNormal="100" zoomScaleSheetLayoutView="70" workbookViewId="0">
      <selection sqref="A1:XFD1"/>
    </sheetView>
  </sheetViews>
  <sheetFormatPr defaultRowHeight="14.5" x14ac:dyDescent="0.35"/>
  <cols>
    <col min="1" max="1" width="11.54296875" customWidth="1"/>
    <col min="2" max="2" width="106.453125" bestFit="1" customWidth="1"/>
    <col min="3" max="10" width="13.1796875" customWidth="1"/>
  </cols>
  <sheetData>
    <row r="1" spans="1:10" s="67" customFormat="1" ht="34" thickBot="1" x14ac:dyDescent="0.8">
      <c r="A1" s="107" t="s">
        <v>68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35">
      <c r="A2" s="22" t="s">
        <v>9</v>
      </c>
      <c r="B2" s="6" t="s">
        <v>44</v>
      </c>
      <c r="C2" s="25">
        <v>11</v>
      </c>
      <c r="D2" s="21" t="s">
        <v>15</v>
      </c>
      <c r="E2" s="6"/>
      <c r="F2" s="104" t="s">
        <v>41</v>
      </c>
      <c r="G2" s="105"/>
      <c r="H2" s="105"/>
      <c r="I2" s="106"/>
      <c r="J2" s="6"/>
    </row>
    <row r="3" spans="1:10" x14ac:dyDescent="0.35">
      <c r="A3" s="22"/>
      <c r="B3" s="6"/>
      <c r="C3" s="21"/>
      <c r="D3" s="21"/>
      <c r="E3" s="6"/>
      <c r="F3" s="56" t="s">
        <v>42</v>
      </c>
      <c r="G3" s="6"/>
      <c r="H3" s="6"/>
      <c r="I3" s="57">
        <v>137.44999999999999</v>
      </c>
      <c r="J3" s="6"/>
    </row>
    <row r="4" spans="1:10" x14ac:dyDescent="0.35">
      <c r="A4" s="22" t="s">
        <v>10</v>
      </c>
      <c r="B4" s="6" t="s">
        <v>45</v>
      </c>
      <c r="C4" s="25">
        <v>45</v>
      </c>
      <c r="D4" s="21" t="s">
        <v>15</v>
      </c>
      <c r="E4" s="6"/>
      <c r="F4" s="56" t="s">
        <v>43</v>
      </c>
      <c r="G4" s="6"/>
      <c r="H4" s="6"/>
      <c r="I4" s="57">
        <v>145.82</v>
      </c>
      <c r="J4" s="6"/>
    </row>
    <row r="5" spans="1:10" x14ac:dyDescent="0.35">
      <c r="A5" s="22"/>
      <c r="B5" s="6"/>
      <c r="C5" s="21"/>
      <c r="D5" s="21"/>
      <c r="E5" s="6"/>
      <c r="F5" s="56"/>
      <c r="G5" s="6"/>
      <c r="H5" s="6"/>
      <c r="I5" s="58">
        <f>AVERAGE(I3:I4)</f>
        <v>141.63499999999999</v>
      </c>
      <c r="J5" s="6"/>
    </row>
    <row r="6" spans="1:10" ht="15" thickBot="1" x14ac:dyDescent="0.4">
      <c r="A6" s="22" t="s">
        <v>11</v>
      </c>
      <c r="B6" s="6" t="s">
        <v>69</v>
      </c>
      <c r="C6" s="26">
        <f>I5</f>
        <v>141.63499999999999</v>
      </c>
      <c r="D6" s="21" t="s">
        <v>16</v>
      </c>
      <c r="E6" s="6"/>
      <c r="F6" s="59"/>
      <c r="G6" s="60"/>
      <c r="H6" s="60"/>
      <c r="I6" s="61"/>
      <c r="J6" s="6"/>
    </row>
    <row r="7" spans="1:10" ht="15" thickTop="1" x14ac:dyDescent="0.35">
      <c r="A7" s="22"/>
      <c r="B7" s="10"/>
      <c r="E7" s="6"/>
      <c r="G7" s="6"/>
      <c r="J7" s="6"/>
    </row>
    <row r="8" spans="1:10" x14ac:dyDescent="0.35">
      <c r="A8" s="22" t="s">
        <v>12</v>
      </c>
      <c r="B8" s="16" t="s">
        <v>6</v>
      </c>
      <c r="C8" s="6"/>
      <c r="D8" s="6"/>
      <c r="E8" s="6"/>
      <c r="F8" s="6"/>
      <c r="G8" s="6"/>
      <c r="H8" s="6"/>
      <c r="I8" s="6"/>
      <c r="J8" s="6"/>
    </row>
    <row r="9" spans="1:10" x14ac:dyDescent="0.35">
      <c r="A9" s="22"/>
      <c r="B9" t="s">
        <v>32</v>
      </c>
      <c r="C9" s="6"/>
      <c r="D9" s="6"/>
      <c r="E9" s="6"/>
      <c r="F9" s="6"/>
      <c r="G9" s="6"/>
      <c r="H9" s="6"/>
      <c r="I9" s="6"/>
      <c r="J9" s="6"/>
    </row>
    <row r="10" spans="1:10" x14ac:dyDescent="0.35">
      <c r="A10" s="22"/>
      <c r="B10" t="s">
        <v>33</v>
      </c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22"/>
      <c r="B11" s="65" t="s">
        <v>70</v>
      </c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22"/>
      <c r="B12" s="23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22" t="s">
        <v>13</v>
      </c>
      <c r="B13" s="16" t="s">
        <v>46</v>
      </c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22"/>
      <c r="B14" s="17" t="s">
        <v>34</v>
      </c>
      <c r="C14" s="6"/>
      <c r="D14" s="6"/>
      <c r="E14" s="6"/>
      <c r="F14" s="6"/>
      <c r="G14" s="6"/>
      <c r="H14" s="6"/>
      <c r="I14" s="6"/>
      <c r="J14" s="6"/>
    </row>
    <row r="15" spans="1:10" x14ac:dyDescent="0.35">
      <c r="A15" s="22"/>
      <c r="B15" s="66" t="s">
        <v>71</v>
      </c>
      <c r="C15" s="6"/>
      <c r="D15" s="6"/>
      <c r="E15" s="6"/>
      <c r="F15" s="6"/>
      <c r="G15" s="6"/>
      <c r="H15" s="6"/>
      <c r="I15" s="6"/>
      <c r="J15" s="6"/>
    </row>
    <row r="16" spans="1:10" x14ac:dyDescent="0.35">
      <c r="A16" s="22"/>
      <c r="B16" s="24"/>
      <c r="C16" s="6"/>
      <c r="D16" s="6"/>
      <c r="E16" s="6"/>
      <c r="F16" s="6"/>
      <c r="G16" s="6"/>
      <c r="H16" s="6"/>
      <c r="I16" s="6"/>
      <c r="J16" s="6"/>
    </row>
    <row r="17" spans="1:11" x14ac:dyDescent="0.35">
      <c r="A17" s="22" t="s">
        <v>14</v>
      </c>
      <c r="B17" s="16" t="s">
        <v>8</v>
      </c>
      <c r="C17" s="11"/>
      <c r="D17" s="6"/>
      <c r="E17" s="6"/>
      <c r="F17" s="6"/>
      <c r="G17" s="6"/>
      <c r="H17" s="6"/>
      <c r="I17" s="6"/>
      <c r="J17" s="6"/>
    </row>
    <row r="18" spans="1:11" x14ac:dyDescent="0.35">
      <c r="A18" s="22"/>
      <c r="B18" s="17" t="s">
        <v>35</v>
      </c>
      <c r="C18" s="11"/>
      <c r="D18" s="6"/>
      <c r="E18" s="6"/>
      <c r="F18" s="6"/>
      <c r="G18" s="6"/>
      <c r="H18" s="6"/>
      <c r="I18" s="6"/>
      <c r="J18" s="6"/>
    </row>
    <row r="19" spans="1:11" x14ac:dyDescent="0.35">
      <c r="A19" s="22"/>
      <c r="B19" s="66" t="s">
        <v>67</v>
      </c>
      <c r="C19" s="11"/>
      <c r="D19" s="6"/>
      <c r="E19" s="6"/>
      <c r="F19" s="6"/>
      <c r="G19" s="6"/>
      <c r="H19" s="6"/>
      <c r="I19" s="6"/>
      <c r="J19" s="6"/>
    </row>
    <row r="20" spans="1:11" x14ac:dyDescent="0.35">
      <c r="A20" s="22"/>
      <c r="B20" s="17"/>
      <c r="C20" s="11"/>
      <c r="D20" s="6"/>
      <c r="E20" s="6"/>
      <c r="F20" s="6"/>
      <c r="G20" s="6"/>
      <c r="H20" s="6"/>
      <c r="I20" s="6"/>
      <c r="J20" s="6"/>
    </row>
    <row r="21" spans="1:11" x14ac:dyDescent="0.35">
      <c r="A21" s="22" t="s">
        <v>17</v>
      </c>
      <c r="B21" s="10" t="s">
        <v>47</v>
      </c>
      <c r="C21" s="11"/>
      <c r="D21" s="6"/>
      <c r="E21" s="6"/>
      <c r="F21" s="6"/>
      <c r="G21" s="6"/>
      <c r="H21" s="6"/>
      <c r="I21" s="6"/>
      <c r="J21" s="6"/>
    </row>
    <row r="22" spans="1:11" x14ac:dyDescent="0.35">
      <c r="A22" s="22"/>
      <c r="B22" s="10"/>
      <c r="C22" s="11"/>
      <c r="D22" s="6"/>
      <c r="E22" s="6"/>
      <c r="F22" s="6"/>
      <c r="G22" s="6"/>
      <c r="H22" s="6"/>
      <c r="I22" s="6"/>
      <c r="J22" s="6"/>
    </row>
    <row r="23" spans="1:11" x14ac:dyDescent="0.35">
      <c r="A23" s="22" t="s">
        <v>36</v>
      </c>
      <c r="B23" s="10" t="s">
        <v>48</v>
      </c>
      <c r="C23" s="11"/>
      <c r="D23" s="6"/>
      <c r="E23" s="6"/>
      <c r="F23" s="6"/>
      <c r="G23" s="6"/>
      <c r="H23" s="6"/>
      <c r="I23" s="6"/>
      <c r="J23" s="6"/>
    </row>
    <row r="24" spans="1:11" x14ac:dyDescent="0.35">
      <c r="A24" s="5"/>
      <c r="B24" s="10"/>
      <c r="C24" s="6"/>
      <c r="D24" s="6"/>
      <c r="E24" s="6"/>
      <c r="F24" s="6"/>
      <c r="G24" s="6"/>
      <c r="H24" s="6"/>
      <c r="I24" s="6"/>
      <c r="J24" s="6"/>
    </row>
    <row r="25" spans="1:11" ht="61.75" customHeight="1" x14ac:dyDescent="0.35">
      <c r="A25" s="5"/>
      <c r="B25" s="6"/>
      <c r="C25" s="38" t="s">
        <v>53</v>
      </c>
      <c r="D25" s="38" t="s">
        <v>39</v>
      </c>
      <c r="E25" s="38" t="s">
        <v>40</v>
      </c>
      <c r="F25" s="38" t="s">
        <v>49</v>
      </c>
      <c r="G25" s="38" t="s">
        <v>50</v>
      </c>
      <c r="H25" s="39" t="s">
        <v>38</v>
      </c>
      <c r="I25" s="38" t="s">
        <v>51</v>
      </c>
      <c r="J25" s="38" t="s">
        <v>52</v>
      </c>
    </row>
    <row r="26" spans="1:11" ht="15" thickBot="1" x14ac:dyDescent="0.4">
      <c r="A26" s="98" t="s">
        <v>6</v>
      </c>
      <c r="B26" s="2" t="s">
        <v>0</v>
      </c>
      <c r="C26" s="35">
        <v>100</v>
      </c>
      <c r="D26" s="30">
        <f>C2</f>
        <v>11</v>
      </c>
      <c r="E26" s="36">
        <f>C26/D26</f>
        <v>9.0909090909090917</v>
      </c>
      <c r="F26" s="30">
        <f>C6</f>
        <v>141.63499999999999</v>
      </c>
      <c r="G26" s="40">
        <f>+ROUND(E26*F26,0)</f>
        <v>1288</v>
      </c>
      <c r="H26" s="37">
        <v>0</v>
      </c>
      <c r="I26" s="40">
        <f>H26*C26</f>
        <v>0</v>
      </c>
      <c r="J26" s="40">
        <f>+ROUND((G26+I26),0)</f>
        <v>1288</v>
      </c>
      <c r="K26" s="4"/>
    </row>
    <row r="27" spans="1:11" ht="15.5" thickTop="1" thickBot="1" x14ac:dyDescent="0.4">
      <c r="A27" s="99"/>
      <c r="B27" s="2" t="s">
        <v>3</v>
      </c>
      <c r="C27" s="29">
        <v>100</v>
      </c>
      <c r="D27" s="30">
        <f>C4</f>
        <v>45</v>
      </c>
      <c r="E27" s="31">
        <f>C27/D27</f>
        <v>2.2222222222222223</v>
      </c>
      <c r="F27" s="30">
        <f>C6</f>
        <v>141.63499999999999</v>
      </c>
      <c r="G27" s="41">
        <f>+ROUND(E27*F27,0)</f>
        <v>315</v>
      </c>
      <c r="H27" s="27">
        <v>0</v>
      </c>
      <c r="I27" s="41">
        <f>H27*C27</f>
        <v>0</v>
      </c>
      <c r="J27" s="41">
        <f>+ROUND((G27+I27),0)</f>
        <v>315</v>
      </c>
      <c r="K27" s="4"/>
    </row>
    <row r="28" spans="1:11" ht="15" thickTop="1" x14ac:dyDescent="0.35">
      <c r="A28" s="5"/>
      <c r="B28" s="6"/>
      <c r="C28" s="32"/>
      <c r="D28" s="32"/>
      <c r="E28" s="32"/>
      <c r="F28" s="32"/>
      <c r="G28" s="42"/>
      <c r="H28" s="7"/>
      <c r="I28" s="42"/>
      <c r="J28" s="42"/>
      <c r="K28" s="4"/>
    </row>
    <row r="29" spans="1:11" ht="15" thickBot="1" x14ac:dyDescent="0.4">
      <c r="A29" s="100" t="s">
        <v>7</v>
      </c>
      <c r="B29" s="2" t="s">
        <v>1</v>
      </c>
      <c r="C29" s="29">
        <v>100</v>
      </c>
      <c r="D29" s="30">
        <f>C2</f>
        <v>11</v>
      </c>
      <c r="E29" s="31">
        <f>C29/D29</f>
        <v>9.0909090909090917</v>
      </c>
      <c r="F29" s="30">
        <f>C6</f>
        <v>141.63499999999999</v>
      </c>
      <c r="G29" s="41">
        <f>+ROUND(E29*F29,0)</f>
        <v>1288</v>
      </c>
      <c r="H29" s="27">
        <v>0</v>
      </c>
      <c r="I29" s="41">
        <f>H29*C29</f>
        <v>0</v>
      </c>
      <c r="J29" s="41">
        <f>+ROUND((G29+I29),0)</f>
        <v>1288</v>
      </c>
      <c r="K29" s="4"/>
    </row>
    <row r="30" spans="1:11" ht="15.5" thickTop="1" thickBot="1" x14ac:dyDescent="0.4">
      <c r="A30" s="101"/>
      <c r="B30" s="2" t="s">
        <v>4</v>
      </c>
      <c r="C30" s="29">
        <v>0</v>
      </c>
      <c r="D30" s="33">
        <v>0</v>
      </c>
      <c r="E30" s="34">
        <v>0</v>
      </c>
      <c r="F30" s="33">
        <v>0</v>
      </c>
      <c r="G30" s="43">
        <f>+ROUND(E30*F30,0)</f>
        <v>0</v>
      </c>
      <c r="H30" s="28"/>
      <c r="I30" s="43"/>
      <c r="J30" s="43">
        <f>+ROUND((G30+I30),0)</f>
        <v>0</v>
      </c>
      <c r="K30" s="4"/>
    </row>
    <row r="31" spans="1:11" ht="15" thickTop="1" x14ac:dyDescent="0.35">
      <c r="A31" s="5"/>
      <c r="B31" s="6"/>
      <c r="C31" s="32"/>
      <c r="D31" s="32"/>
      <c r="E31" s="32"/>
      <c r="F31" s="32"/>
      <c r="G31" s="42"/>
      <c r="H31" s="7"/>
      <c r="I31" s="42"/>
      <c r="J31" s="42"/>
      <c r="K31" s="4"/>
    </row>
    <row r="32" spans="1:11" ht="15" thickBot="1" x14ac:dyDescent="0.4">
      <c r="A32" s="102" t="s">
        <v>8</v>
      </c>
      <c r="B32" s="2" t="s">
        <v>2</v>
      </c>
      <c r="C32" s="29">
        <v>100</v>
      </c>
      <c r="D32" s="30">
        <f>C2</f>
        <v>11</v>
      </c>
      <c r="E32" s="31">
        <f>C32/D32</f>
        <v>9.0909090909090917</v>
      </c>
      <c r="F32" s="30">
        <f>C6</f>
        <v>141.63499999999999</v>
      </c>
      <c r="G32" s="41">
        <f>+ROUND(E32*F32,0)</f>
        <v>1288</v>
      </c>
      <c r="H32" s="27">
        <v>2</v>
      </c>
      <c r="I32" s="41">
        <f>H32*C32</f>
        <v>200</v>
      </c>
      <c r="J32" s="41">
        <f>+ROUND((G32+I32),0)</f>
        <v>1488</v>
      </c>
      <c r="K32" s="4"/>
    </row>
    <row r="33" spans="1:12" ht="15.5" thickTop="1" thickBot="1" x14ac:dyDescent="0.4">
      <c r="A33" s="103"/>
      <c r="B33" s="2" t="s">
        <v>5</v>
      </c>
      <c r="C33" s="29">
        <v>100</v>
      </c>
      <c r="D33" s="30">
        <f>C4</f>
        <v>45</v>
      </c>
      <c r="E33" s="31">
        <f>C33/D33</f>
        <v>2.2222222222222223</v>
      </c>
      <c r="F33" s="30">
        <f>C6</f>
        <v>141.63499999999999</v>
      </c>
      <c r="G33" s="41">
        <f>+ROUND(E33*F33,0)</f>
        <v>315</v>
      </c>
      <c r="H33" s="27">
        <v>1</v>
      </c>
      <c r="I33" s="41">
        <f>H33*C33</f>
        <v>100</v>
      </c>
      <c r="J33" s="41">
        <f>+ROUND((G33+I33),0)</f>
        <v>415</v>
      </c>
      <c r="K33" s="4"/>
    </row>
    <row r="34" spans="1:12" ht="15" thickTop="1" x14ac:dyDescent="0.35">
      <c r="A34" s="5"/>
      <c r="B34" s="6"/>
      <c r="C34" s="7"/>
      <c r="D34" s="7"/>
      <c r="E34" s="7"/>
      <c r="F34" s="7"/>
      <c r="G34" s="7"/>
      <c r="H34" s="7"/>
      <c r="I34" s="7"/>
      <c r="J34" s="7"/>
      <c r="K34" s="4"/>
      <c r="L34" s="4"/>
    </row>
    <row r="35" spans="1:12" x14ac:dyDescent="0.35">
      <c r="A35" s="5"/>
      <c r="B35" s="6"/>
      <c r="C35" s="7"/>
      <c r="D35" s="7"/>
      <c r="E35" s="7"/>
      <c r="F35" s="7"/>
      <c r="G35" s="7"/>
      <c r="H35" s="7"/>
      <c r="I35" s="7"/>
      <c r="J35" s="7"/>
      <c r="K35" s="4"/>
      <c r="L35" s="4"/>
    </row>
    <row r="36" spans="1:12" x14ac:dyDescent="0.35">
      <c r="A36" s="1"/>
      <c r="B36" s="8"/>
      <c r="C36" s="9"/>
      <c r="D36" s="9"/>
      <c r="E36" s="9"/>
      <c r="F36" s="9"/>
      <c r="G36" s="9"/>
      <c r="H36" s="9"/>
      <c r="I36" s="9"/>
      <c r="J36" s="9"/>
      <c r="K36" s="4"/>
      <c r="L36" s="4"/>
    </row>
    <row r="37" spans="1:12" x14ac:dyDescent="0.35"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35"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35"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35"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5"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35"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35"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35"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35"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35"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35"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35"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3:12" x14ac:dyDescent="0.35">
      <c r="C49" s="4"/>
      <c r="D49" s="4"/>
      <c r="E49" s="4"/>
      <c r="F49" s="4"/>
      <c r="G49" s="4"/>
      <c r="H49" s="4"/>
      <c r="I49" s="4"/>
      <c r="J49" s="4"/>
      <c r="K49" s="4"/>
      <c r="L49" s="4"/>
    </row>
  </sheetData>
  <mergeCells count="5">
    <mergeCell ref="A26:A27"/>
    <mergeCell ref="A29:A30"/>
    <mergeCell ref="A32:A33"/>
    <mergeCell ref="F2:I2"/>
    <mergeCell ref="A1:J1"/>
  </mergeCells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7"/>
  <sheetViews>
    <sheetView showGridLines="0" tabSelected="1" zoomScaleNormal="100" zoomScaleSheetLayoutView="85" workbookViewId="0">
      <selection activeCell="G11" sqref="G11"/>
    </sheetView>
  </sheetViews>
  <sheetFormatPr defaultRowHeight="14.5" x14ac:dyDescent="0.35"/>
  <cols>
    <col min="1" max="1" width="5.26953125" customWidth="1"/>
    <col min="2" max="2" width="10.453125" bestFit="1" customWidth="1"/>
    <col min="3" max="3" width="10.08984375" bestFit="1" customWidth="1"/>
    <col min="4" max="4" width="9.453125" customWidth="1"/>
    <col min="5" max="5" width="11.7265625" customWidth="1"/>
    <col min="6" max="6" width="20.26953125" customWidth="1"/>
    <col min="7" max="7" width="45.7265625" customWidth="1"/>
    <col min="8" max="8" width="8.26953125" customWidth="1"/>
    <col min="12" max="12" width="41.1796875" bestFit="1" customWidth="1"/>
  </cols>
  <sheetData>
    <row r="1" spans="1:9" ht="21" x14ac:dyDescent="0.5">
      <c r="A1" s="109" t="s">
        <v>75</v>
      </c>
      <c r="B1" s="109"/>
      <c r="C1" s="109"/>
      <c r="D1" s="109"/>
      <c r="E1" s="109"/>
      <c r="F1" s="109"/>
      <c r="G1" s="110"/>
      <c r="H1" s="109"/>
      <c r="I1" s="109"/>
    </row>
    <row r="2" spans="1:9" x14ac:dyDescent="0.35">
      <c r="A2" s="14"/>
      <c r="B2" s="14"/>
      <c r="C2" s="111" t="s">
        <v>20</v>
      </c>
      <c r="D2" s="112"/>
      <c r="E2" s="113" t="s">
        <v>23</v>
      </c>
      <c r="F2" s="114"/>
      <c r="G2" s="14"/>
      <c r="H2" s="14"/>
      <c r="I2" s="14"/>
    </row>
    <row r="3" spans="1:9" x14ac:dyDescent="0.35">
      <c r="A3" s="3" t="s">
        <v>18</v>
      </c>
      <c r="B3" s="3" t="s">
        <v>19</v>
      </c>
      <c r="C3" s="13" t="s">
        <v>21</v>
      </c>
      <c r="D3" s="13" t="s">
        <v>22</v>
      </c>
      <c r="E3" s="13" t="s">
        <v>21</v>
      </c>
      <c r="F3" s="15" t="s">
        <v>22</v>
      </c>
      <c r="G3" s="3" t="s">
        <v>24</v>
      </c>
      <c r="H3" s="3" t="s">
        <v>25</v>
      </c>
      <c r="I3" s="3" t="s">
        <v>26</v>
      </c>
    </row>
    <row r="4" spans="1:9" x14ac:dyDescent="0.35">
      <c r="A4" s="2">
        <v>1</v>
      </c>
      <c r="B4" s="19" t="s">
        <v>85</v>
      </c>
      <c r="C4" s="2"/>
      <c r="D4" s="2"/>
      <c r="E4" s="2" t="s">
        <v>87</v>
      </c>
      <c r="F4" s="2" t="s">
        <v>86</v>
      </c>
      <c r="G4" s="2" t="s">
        <v>89</v>
      </c>
      <c r="H4" s="2">
        <v>11</v>
      </c>
      <c r="I4" s="2"/>
    </row>
    <row r="5" spans="1:9" x14ac:dyDescent="0.35">
      <c r="A5" s="2">
        <v>2</v>
      </c>
      <c r="B5" s="19" t="s">
        <v>85</v>
      </c>
      <c r="C5" s="2"/>
      <c r="D5" s="91"/>
      <c r="E5" s="2" t="s">
        <v>86</v>
      </c>
      <c r="F5" s="2" t="s">
        <v>87</v>
      </c>
      <c r="G5" s="2" t="s">
        <v>89</v>
      </c>
      <c r="H5" s="2">
        <v>11</v>
      </c>
      <c r="I5" s="2"/>
    </row>
    <row r="6" spans="1:9" x14ac:dyDescent="0.35">
      <c r="A6" s="2">
        <v>3</v>
      </c>
      <c r="B6" s="19" t="s">
        <v>84</v>
      </c>
      <c r="C6" s="2"/>
      <c r="D6" s="2"/>
      <c r="E6" s="2" t="s">
        <v>87</v>
      </c>
      <c r="F6" s="2" t="s">
        <v>86</v>
      </c>
      <c r="G6" s="2" t="s">
        <v>88</v>
      </c>
      <c r="H6" s="2">
        <v>11</v>
      </c>
      <c r="I6" s="2"/>
    </row>
    <row r="7" spans="1:9" x14ac:dyDescent="0.35">
      <c r="A7" s="2">
        <v>4</v>
      </c>
      <c r="B7" s="19" t="s">
        <v>84</v>
      </c>
      <c r="C7" s="2"/>
      <c r="D7" s="19"/>
      <c r="E7" s="2" t="s">
        <v>86</v>
      </c>
      <c r="F7" s="2" t="s">
        <v>87</v>
      </c>
      <c r="G7" s="2" t="s">
        <v>88</v>
      </c>
      <c r="H7" s="2">
        <v>11</v>
      </c>
      <c r="I7" s="2"/>
    </row>
    <row r="8" spans="1:9" x14ac:dyDescent="0.35">
      <c r="A8" s="2">
        <v>5</v>
      </c>
      <c r="B8" s="19" t="s">
        <v>81</v>
      </c>
      <c r="C8" s="2"/>
      <c r="D8" s="2"/>
      <c r="E8" s="2" t="s">
        <v>87</v>
      </c>
      <c r="F8" s="2" t="s">
        <v>92</v>
      </c>
      <c r="G8" s="2" t="s">
        <v>94</v>
      </c>
      <c r="H8" s="2">
        <v>18</v>
      </c>
      <c r="I8" s="2"/>
    </row>
    <row r="9" spans="1:9" hidden="1" x14ac:dyDescent="0.35">
      <c r="A9" s="2">
        <v>6</v>
      </c>
      <c r="B9" s="19" t="s">
        <v>90</v>
      </c>
      <c r="C9" s="2"/>
      <c r="D9" s="2"/>
      <c r="E9" s="2"/>
      <c r="F9" s="2"/>
      <c r="G9" s="2" t="s">
        <v>93</v>
      </c>
      <c r="H9" s="2">
        <v>18</v>
      </c>
      <c r="I9" s="2"/>
    </row>
    <row r="10" spans="1:9" hidden="1" x14ac:dyDescent="0.35">
      <c r="A10" s="2">
        <v>7</v>
      </c>
      <c r="B10" s="19" t="s">
        <v>91</v>
      </c>
      <c r="C10" s="2"/>
      <c r="D10" s="2"/>
      <c r="E10" s="2"/>
      <c r="F10" s="2"/>
      <c r="G10" s="2" t="s">
        <v>93</v>
      </c>
      <c r="H10" s="2">
        <v>18</v>
      </c>
      <c r="I10" s="2"/>
    </row>
    <row r="11" spans="1:9" x14ac:dyDescent="0.35">
      <c r="A11" s="2">
        <v>8</v>
      </c>
      <c r="B11" s="19" t="s">
        <v>81</v>
      </c>
      <c r="C11" s="2"/>
      <c r="D11" s="2"/>
      <c r="E11" s="2" t="s">
        <v>92</v>
      </c>
      <c r="F11" s="2" t="s">
        <v>87</v>
      </c>
      <c r="G11" s="2" t="s">
        <v>94</v>
      </c>
      <c r="H11" s="2">
        <v>18</v>
      </c>
      <c r="I11" s="2"/>
    </row>
    <row r="12" spans="1:9" x14ac:dyDescent="0.35">
      <c r="A12" s="2">
        <v>9</v>
      </c>
      <c r="B12" s="19"/>
      <c r="C12" s="2"/>
      <c r="D12" s="2"/>
      <c r="E12" s="2"/>
      <c r="F12" s="2"/>
      <c r="G12" s="2"/>
      <c r="H12" s="2"/>
      <c r="I12" s="2"/>
    </row>
    <row r="13" spans="1:9" x14ac:dyDescent="0.35">
      <c r="A13" s="2">
        <v>10</v>
      </c>
      <c r="B13" s="19"/>
      <c r="C13" s="2"/>
      <c r="D13" s="2"/>
      <c r="E13" s="2"/>
      <c r="F13" s="2"/>
      <c r="G13" s="2"/>
      <c r="H13" s="2"/>
      <c r="I13" s="2"/>
    </row>
    <row r="14" spans="1:9" x14ac:dyDescent="0.35">
      <c r="A14" s="2">
        <v>11</v>
      </c>
      <c r="B14" s="19"/>
      <c r="C14" s="2"/>
      <c r="D14" s="2"/>
      <c r="E14" s="2"/>
      <c r="F14" s="2"/>
      <c r="G14" s="2"/>
      <c r="H14" s="2"/>
      <c r="I14" s="2"/>
    </row>
    <row r="15" spans="1:9" x14ac:dyDescent="0.35">
      <c r="A15" s="2">
        <v>12</v>
      </c>
      <c r="B15" s="19"/>
      <c r="C15" s="2"/>
      <c r="D15" s="2"/>
      <c r="E15" s="2"/>
      <c r="F15" s="2"/>
      <c r="G15" s="2"/>
      <c r="H15" s="2"/>
      <c r="I15" s="2"/>
    </row>
    <row r="16" spans="1:9" x14ac:dyDescent="0.35">
      <c r="A16" s="2">
        <v>13</v>
      </c>
      <c r="B16" s="19"/>
      <c r="C16" s="2"/>
      <c r="D16" s="2"/>
      <c r="E16" s="2"/>
      <c r="F16" s="2"/>
      <c r="G16" s="2"/>
      <c r="H16" s="2"/>
      <c r="I16" s="2"/>
    </row>
    <row r="17" spans="1:9" hidden="1" x14ac:dyDescent="0.35">
      <c r="A17" s="2">
        <v>14</v>
      </c>
      <c r="B17" s="2"/>
      <c r="C17" s="2"/>
      <c r="D17" s="2"/>
      <c r="E17" s="2"/>
      <c r="F17" s="2"/>
      <c r="G17" s="2"/>
      <c r="H17" s="2"/>
      <c r="I17" s="2"/>
    </row>
    <row r="18" spans="1:9" x14ac:dyDescent="0.35">
      <c r="A18" s="2">
        <v>15</v>
      </c>
      <c r="B18" s="19"/>
      <c r="C18" s="2"/>
      <c r="D18" s="2"/>
      <c r="E18" s="2"/>
      <c r="F18" s="2"/>
      <c r="G18" s="2"/>
      <c r="H18" s="2"/>
      <c r="I18" s="2"/>
    </row>
    <row r="19" spans="1:9" x14ac:dyDescent="0.35">
      <c r="A19" s="2">
        <v>16</v>
      </c>
      <c r="B19" s="19"/>
      <c r="C19" s="2"/>
      <c r="D19" s="2"/>
      <c r="E19" s="2"/>
      <c r="F19" s="2"/>
      <c r="G19" s="2"/>
      <c r="H19" s="2"/>
      <c r="I19" s="2"/>
    </row>
    <row r="20" spans="1:9" x14ac:dyDescent="0.35">
      <c r="A20" s="2">
        <v>17</v>
      </c>
      <c r="B20" s="19"/>
      <c r="C20" s="2"/>
      <c r="D20" s="2"/>
      <c r="E20" s="2"/>
      <c r="F20" s="2"/>
      <c r="G20" s="2"/>
      <c r="H20" s="2"/>
      <c r="I20" s="2"/>
    </row>
    <row r="21" spans="1:9" x14ac:dyDescent="0.35">
      <c r="A21" s="2">
        <v>18</v>
      </c>
      <c r="B21" s="19"/>
      <c r="C21" s="2"/>
      <c r="D21" s="2"/>
      <c r="E21" s="2"/>
      <c r="F21" s="2"/>
      <c r="G21" s="2"/>
      <c r="H21" s="2"/>
      <c r="I21" s="2"/>
    </row>
    <row r="22" spans="1:9" x14ac:dyDescent="0.35">
      <c r="A22" s="2">
        <v>19</v>
      </c>
      <c r="B22" s="19"/>
      <c r="C22" s="2"/>
      <c r="D22" s="2"/>
      <c r="E22" s="2"/>
      <c r="F22" s="2"/>
      <c r="G22" s="2"/>
      <c r="H22" s="2"/>
      <c r="I22" s="2"/>
    </row>
    <row r="23" spans="1:9" x14ac:dyDescent="0.35">
      <c r="A23" s="2">
        <v>20</v>
      </c>
      <c r="B23" s="19"/>
      <c r="C23" s="2"/>
      <c r="D23" s="2"/>
      <c r="E23" s="2"/>
      <c r="F23" s="2"/>
      <c r="G23" s="2"/>
      <c r="H23" s="2"/>
      <c r="I23" s="2"/>
    </row>
    <row r="24" spans="1:9" x14ac:dyDescent="0.35">
      <c r="A24" s="2">
        <v>21</v>
      </c>
      <c r="B24" s="92"/>
      <c r="C24" s="44"/>
      <c r="D24" s="44"/>
      <c r="E24" s="44"/>
      <c r="F24" s="44"/>
      <c r="G24" s="44"/>
      <c r="H24" s="44"/>
      <c r="I24" s="44"/>
    </row>
    <row r="25" spans="1:9" x14ac:dyDescent="0.35">
      <c r="A25" s="2">
        <v>22</v>
      </c>
      <c r="B25" s="92"/>
      <c r="C25" s="44"/>
      <c r="D25" s="44"/>
      <c r="E25" s="44"/>
      <c r="F25" s="44"/>
      <c r="G25" s="44"/>
      <c r="H25" s="44"/>
      <c r="I25" s="44"/>
    </row>
    <row r="26" spans="1:9" x14ac:dyDescent="0.35">
      <c r="A26" s="2">
        <v>23</v>
      </c>
      <c r="B26" s="92"/>
      <c r="C26" s="44"/>
      <c r="D26" s="44"/>
      <c r="E26" s="44"/>
      <c r="F26" s="44"/>
      <c r="G26" s="44"/>
      <c r="H26" s="44"/>
      <c r="I26" s="44"/>
    </row>
    <row r="27" spans="1:9" x14ac:dyDescent="0.35">
      <c r="A27" s="2">
        <v>24</v>
      </c>
      <c r="B27" s="92"/>
      <c r="C27" s="44"/>
      <c r="D27" s="44"/>
      <c r="E27" s="44"/>
      <c r="F27" s="44"/>
      <c r="G27" s="44"/>
      <c r="H27" s="44"/>
      <c r="I27" s="44"/>
    </row>
    <row r="28" spans="1:9" x14ac:dyDescent="0.35">
      <c r="A28" s="2">
        <v>25</v>
      </c>
      <c r="B28" s="92"/>
      <c r="C28" s="44"/>
      <c r="D28" s="44"/>
      <c r="E28" s="44"/>
      <c r="F28" s="44"/>
      <c r="G28" s="44"/>
      <c r="H28" s="44"/>
      <c r="I28" s="44"/>
    </row>
    <row r="29" spans="1:9" x14ac:dyDescent="0.35">
      <c r="A29" s="2">
        <v>26</v>
      </c>
      <c r="B29" s="92"/>
      <c r="C29" s="44"/>
      <c r="D29" s="44"/>
      <c r="E29" s="44"/>
      <c r="F29" s="44"/>
      <c r="G29" s="44"/>
      <c r="H29" s="44"/>
      <c r="I29" s="44"/>
    </row>
    <row r="30" spans="1:9" x14ac:dyDescent="0.35">
      <c r="A30" s="2">
        <v>27</v>
      </c>
      <c r="B30" s="92"/>
      <c r="C30" s="44"/>
      <c r="D30" s="44"/>
      <c r="E30" s="44"/>
      <c r="F30" s="44"/>
      <c r="G30" s="44"/>
      <c r="H30" s="44"/>
      <c r="I30" s="44"/>
    </row>
    <row r="31" spans="1:9" x14ac:dyDescent="0.35">
      <c r="A31" s="2">
        <v>28</v>
      </c>
      <c r="B31" s="92"/>
      <c r="C31" s="44"/>
      <c r="D31" s="44"/>
      <c r="E31" s="44"/>
      <c r="F31" s="44"/>
      <c r="G31" s="44"/>
      <c r="H31" s="44"/>
      <c r="I31" s="44"/>
    </row>
    <row r="32" spans="1:9" x14ac:dyDescent="0.35">
      <c r="A32" s="2">
        <v>29</v>
      </c>
      <c r="B32" s="92"/>
      <c r="C32" s="44"/>
      <c r="D32" s="44"/>
      <c r="E32" s="44"/>
      <c r="F32" s="44"/>
      <c r="G32" s="44"/>
      <c r="H32" s="44"/>
      <c r="I32" s="44"/>
    </row>
    <row r="33" spans="1:9" x14ac:dyDescent="0.35">
      <c r="A33" s="2">
        <v>30</v>
      </c>
      <c r="B33" s="92"/>
      <c r="C33" s="44"/>
      <c r="D33" s="44"/>
      <c r="E33" s="44"/>
      <c r="F33" s="44"/>
      <c r="G33" s="44"/>
      <c r="H33" s="44"/>
      <c r="I33" s="44"/>
    </row>
    <row r="34" spans="1:9" x14ac:dyDescent="0.35">
      <c r="A34" s="44">
        <v>31</v>
      </c>
      <c r="B34" s="92"/>
      <c r="C34" s="44"/>
      <c r="D34" s="44"/>
      <c r="E34" s="44"/>
      <c r="F34" s="44"/>
      <c r="G34" s="44"/>
      <c r="H34" s="44"/>
      <c r="I34" s="44"/>
    </row>
    <row r="35" spans="1:9" x14ac:dyDescent="0.35">
      <c r="A35" s="2">
        <v>32</v>
      </c>
      <c r="B35" s="19"/>
      <c r="C35" s="2"/>
      <c r="D35" s="2"/>
      <c r="E35" s="2"/>
      <c r="F35" s="2"/>
      <c r="G35" s="2"/>
      <c r="H35" s="2"/>
      <c r="I35" s="44"/>
    </row>
    <row r="36" spans="1:9" ht="15" thickBot="1" x14ac:dyDescent="0.4">
      <c r="A36" s="93"/>
      <c r="B36" s="93"/>
      <c r="C36" s="93"/>
      <c r="D36" s="93"/>
      <c r="E36" s="93"/>
      <c r="F36" s="93"/>
      <c r="G36" s="94" t="s">
        <v>27</v>
      </c>
      <c r="H36" s="94">
        <v>80</v>
      </c>
      <c r="I36" s="2"/>
    </row>
    <row r="37" spans="1:9" ht="15" thickTop="1" x14ac:dyDescent="0.35"/>
    <row r="40" spans="1:9" x14ac:dyDescent="0.35">
      <c r="H40" s="12"/>
    </row>
    <row r="42" spans="1:9" x14ac:dyDescent="0.35">
      <c r="A42" s="18" t="s">
        <v>95</v>
      </c>
      <c r="B42" s="18"/>
      <c r="C42" s="18"/>
      <c r="D42" s="18"/>
      <c r="E42" s="18"/>
      <c r="F42" s="18" t="s">
        <v>31</v>
      </c>
      <c r="G42" s="18"/>
      <c r="H42" s="18" t="s">
        <v>37</v>
      </c>
      <c r="I42" s="18"/>
    </row>
    <row r="43" spans="1:9" x14ac:dyDescent="0.35">
      <c r="A43" s="18" t="s">
        <v>28</v>
      </c>
      <c r="B43" s="18"/>
      <c r="C43" s="18"/>
      <c r="D43" s="18"/>
      <c r="E43" s="18"/>
      <c r="F43" s="18" t="s">
        <v>29</v>
      </c>
      <c r="G43" s="18"/>
      <c r="H43" s="18" t="s">
        <v>30</v>
      </c>
      <c r="I43" s="18"/>
    </row>
    <row r="45" spans="1:9" x14ac:dyDescent="0.35">
      <c r="A45" s="115" t="s">
        <v>66</v>
      </c>
      <c r="B45" s="115"/>
      <c r="C45" s="115"/>
      <c r="D45" s="115"/>
      <c r="E45" s="115"/>
      <c r="F45" s="115"/>
      <c r="G45" s="115"/>
      <c r="H45" s="115"/>
      <c r="I45" s="115"/>
    </row>
    <row r="46" spans="1:9" x14ac:dyDescent="0.35">
      <c r="A46" s="53" t="s">
        <v>55</v>
      </c>
      <c r="B46" s="6"/>
      <c r="C46" s="6"/>
      <c r="D46" s="6"/>
      <c r="E46" s="6"/>
      <c r="F46" s="49"/>
      <c r="G46" s="53" t="s">
        <v>56</v>
      </c>
      <c r="H46" s="6"/>
      <c r="I46" s="6"/>
    </row>
    <row r="47" spans="1:9" x14ac:dyDescent="0.35">
      <c r="A47" s="6" t="s">
        <v>54</v>
      </c>
      <c r="B47" s="6"/>
      <c r="C47" s="6"/>
      <c r="D47" s="6"/>
      <c r="E47" s="21">
        <v>35</v>
      </c>
      <c r="F47" s="50" t="s">
        <v>58</v>
      </c>
      <c r="G47" s="6" t="s">
        <v>61</v>
      </c>
      <c r="H47" s="86">
        <f>H36/E47</f>
        <v>2.2857142857142856</v>
      </c>
      <c r="I47" s="6"/>
    </row>
    <row r="48" spans="1:9" x14ac:dyDescent="0.35">
      <c r="A48" s="6" t="s">
        <v>78</v>
      </c>
      <c r="B48" s="6"/>
      <c r="C48" s="6"/>
      <c r="D48" s="6"/>
      <c r="E48" s="89"/>
      <c r="F48" s="50" t="s">
        <v>57</v>
      </c>
      <c r="G48" s="6"/>
      <c r="H48" s="6"/>
      <c r="I48" s="6"/>
    </row>
    <row r="49" spans="1:9" x14ac:dyDescent="0.35">
      <c r="A49" s="54" t="s">
        <v>59</v>
      </c>
      <c r="B49" s="6"/>
      <c r="C49" s="6"/>
      <c r="D49" s="6"/>
      <c r="E49" s="85">
        <v>265.45</v>
      </c>
      <c r="F49" s="50"/>
      <c r="G49" s="6" t="s">
        <v>62</v>
      </c>
      <c r="H49" s="51">
        <f>H47*E49</f>
        <v>606.74285714285713</v>
      </c>
      <c r="I49" s="6"/>
    </row>
    <row r="50" spans="1:9" x14ac:dyDescent="0.35">
      <c r="A50" s="55" t="s">
        <v>73</v>
      </c>
      <c r="B50" s="90">
        <v>265.45</v>
      </c>
      <c r="C50" s="20" t="s">
        <v>60</v>
      </c>
      <c r="D50" s="6"/>
      <c r="E50" s="6"/>
      <c r="F50" s="50"/>
      <c r="G50" s="6" t="s">
        <v>63</v>
      </c>
      <c r="H50" s="51"/>
      <c r="I50" s="6"/>
    </row>
    <row r="51" spans="1:9" ht="15" thickBot="1" x14ac:dyDescent="0.4">
      <c r="A51" s="55" t="s">
        <v>74</v>
      </c>
      <c r="B51" s="90">
        <v>265.45</v>
      </c>
      <c r="C51" s="20" t="s">
        <v>60</v>
      </c>
      <c r="D51" s="6"/>
      <c r="E51" s="6"/>
      <c r="F51" s="50"/>
      <c r="G51" s="53" t="s">
        <v>64</v>
      </c>
      <c r="H51" s="52">
        <f>SUM(H49:H50)</f>
        <v>606.74285714285713</v>
      </c>
      <c r="I51" s="6"/>
    </row>
    <row r="52" spans="1:9" ht="15" thickTop="1" x14ac:dyDescent="0.35">
      <c r="A52" s="47"/>
      <c r="B52" s="47"/>
      <c r="C52" s="47"/>
      <c r="D52" s="47"/>
      <c r="E52" s="47"/>
      <c r="F52" s="47"/>
      <c r="G52" s="47"/>
      <c r="H52" s="47"/>
      <c r="I52" s="47"/>
    </row>
    <row r="56" spans="1:9" x14ac:dyDescent="0.35">
      <c r="G56" s="47"/>
      <c r="H56" s="47"/>
      <c r="I56" s="47"/>
    </row>
    <row r="57" spans="1:9" x14ac:dyDescent="0.35">
      <c r="G57" s="48" t="s">
        <v>65</v>
      </c>
    </row>
  </sheetData>
  <mergeCells count="4">
    <mergeCell ref="A1:I1"/>
    <mergeCell ref="C2:D2"/>
    <mergeCell ref="E2:F2"/>
    <mergeCell ref="A45:I45"/>
  </mergeCells>
  <phoneticPr fontId="15" type="noConversion"/>
  <pageMargins left="0.7" right="0.7" top="0.75" bottom="0.75" header="0.3" footer="0.3"/>
  <pageSetup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8"/>
  <sheetViews>
    <sheetView topLeftCell="A4" zoomScaleNormal="100" zoomScaleSheetLayoutView="80" workbookViewId="0">
      <selection activeCell="B33" sqref="B33"/>
    </sheetView>
  </sheetViews>
  <sheetFormatPr defaultRowHeight="14.5" x14ac:dyDescent="0.35"/>
  <cols>
    <col min="1" max="1" width="13.81640625" customWidth="1"/>
    <col min="2" max="2" width="12.453125" customWidth="1"/>
    <col min="3" max="3" width="21.453125" customWidth="1"/>
    <col min="4" max="4" width="29.453125" customWidth="1"/>
    <col min="5" max="5" width="20.54296875" customWidth="1"/>
    <col min="6" max="6" width="14.26953125" customWidth="1"/>
    <col min="7" max="7" width="23" customWidth="1"/>
  </cols>
  <sheetData>
    <row r="1" spans="1:7" ht="21" x14ac:dyDescent="0.5">
      <c r="A1" s="109" t="s">
        <v>77</v>
      </c>
      <c r="B1" s="109"/>
      <c r="C1" s="109"/>
      <c r="D1" s="109"/>
      <c r="E1" s="109"/>
      <c r="F1" s="109"/>
      <c r="G1" s="109"/>
    </row>
    <row r="2" spans="1:7" x14ac:dyDescent="0.35">
      <c r="A2" s="97"/>
      <c r="B2" s="97"/>
      <c r="C2" s="113" t="s">
        <v>23</v>
      </c>
      <c r="D2" s="113"/>
      <c r="E2" s="97"/>
      <c r="F2" s="97"/>
      <c r="G2" s="97"/>
    </row>
    <row r="3" spans="1:7" x14ac:dyDescent="0.35">
      <c r="A3" s="97" t="s">
        <v>18</v>
      </c>
      <c r="B3" s="97" t="s">
        <v>19</v>
      </c>
      <c r="C3" s="97" t="s">
        <v>21</v>
      </c>
      <c r="D3" s="97" t="s">
        <v>22</v>
      </c>
      <c r="E3" s="97" t="s">
        <v>24</v>
      </c>
      <c r="F3" s="97" t="s">
        <v>25</v>
      </c>
      <c r="G3" s="97" t="s">
        <v>26</v>
      </c>
    </row>
    <row r="4" spans="1:7" x14ac:dyDescent="0.35">
      <c r="A4" s="62">
        <v>1</v>
      </c>
      <c r="B4" s="19" t="s">
        <v>81</v>
      </c>
      <c r="C4" s="2" t="s">
        <v>79</v>
      </c>
      <c r="D4" s="2" t="s">
        <v>80</v>
      </c>
      <c r="E4" s="2" t="s">
        <v>82</v>
      </c>
      <c r="F4" s="2">
        <v>11</v>
      </c>
      <c r="G4" s="2"/>
    </row>
    <row r="5" spans="1:7" x14ac:dyDescent="0.35">
      <c r="A5" s="62">
        <f>1+A4</f>
        <v>2</v>
      </c>
      <c r="B5" s="19" t="s">
        <v>81</v>
      </c>
      <c r="C5" s="2" t="s">
        <v>80</v>
      </c>
      <c r="D5" s="2" t="s">
        <v>79</v>
      </c>
      <c r="E5" s="2"/>
      <c r="F5" s="2">
        <v>11</v>
      </c>
      <c r="G5" s="2"/>
    </row>
    <row r="6" spans="1:7" x14ac:dyDescent="0.35">
      <c r="A6" s="62">
        <f>1+A5</f>
        <v>3</v>
      </c>
      <c r="B6" s="95"/>
      <c r="C6" s="2"/>
      <c r="D6" s="2"/>
      <c r="E6" s="2"/>
      <c r="F6" s="62"/>
      <c r="G6" s="2"/>
    </row>
    <row r="7" spans="1:7" x14ac:dyDescent="0.35">
      <c r="A7" s="62">
        <f t="shared" ref="A7:A18" si="0">1+A6</f>
        <v>4</v>
      </c>
      <c r="B7" s="95"/>
      <c r="C7" s="2"/>
      <c r="D7" s="2"/>
      <c r="E7" s="2"/>
      <c r="F7" s="62"/>
      <c r="G7" s="2"/>
    </row>
    <row r="8" spans="1:7" x14ac:dyDescent="0.35">
      <c r="A8" s="62">
        <f t="shared" si="0"/>
        <v>5</v>
      </c>
      <c r="B8" s="19"/>
      <c r="C8" s="2"/>
      <c r="D8" s="2"/>
      <c r="E8" s="2"/>
      <c r="F8" s="62"/>
      <c r="G8" s="2"/>
    </row>
    <row r="9" spans="1:7" x14ac:dyDescent="0.35">
      <c r="A9" s="62">
        <f t="shared" si="0"/>
        <v>6</v>
      </c>
      <c r="B9" s="19"/>
      <c r="C9" s="2"/>
      <c r="D9" s="2"/>
      <c r="E9" s="2"/>
      <c r="F9" s="62"/>
      <c r="G9" s="2"/>
    </row>
    <row r="10" spans="1:7" x14ac:dyDescent="0.35">
      <c r="A10" s="62">
        <f t="shared" si="0"/>
        <v>7</v>
      </c>
      <c r="B10" s="19"/>
      <c r="C10" s="2"/>
      <c r="D10" s="2"/>
      <c r="E10" s="2"/>
      <c r="F10" s="62"/>
      <c r="G10" s="2"/>
    </row>
    <row r="11" spans="1:7" x14ac:dyDescent="0.35">
      <c r="A11" s="62">
        <f t="shared" si="0"/>
        <v>8</v>
      </c>
      <c r="B11" s="19"/>
      <c r="C11" s="2"/>
      <c r="D11" s="2"/>
      <c r="E11" s="2"/>
      <c r="F11" s="62"/>
      <c r="G11" s="2"/>
    </row>
    <row r="12" spans="1:7" x14ac:dyDescent="0.35">
      <c r="A12" s="62">
        <f t="shared" si="0"/>
        <v>9</v>
      </c>
      <c r="B12" s="19"/>
      <c r="C12" s="2"/>
      <c r="D12" s="2"/>
      <c r="E12" s="2"/>
      <c r="F12" s="62"/>
      <c r="G12" s="2"/>
    </row>
    <row r="13" spans="1:7" x14ac:dyDescent="0.35">
      <c r="A13" s="62">
        <f t="shared" si="0"/>
        <v>10</v>
      </c>
      <c r="B13" s="19"/>
      <c r="C13" s="2"/>
      <c r="D13" s="2"/>
      <c r="E13" s="2"/>
      <c r="F13" s="62"/>
      <c r="G13" s="2"/>
    </row>
    <row r="14" spans="1:7" x14ac:dyDescent="0.35">
      <c r="A14" s="62">
        <f t="shared" si="0"/>
        <v>11</v>
      </c>
      <c r="B14" s="2"/>
      <c r="C14" s="2"/>
      <c r="D14" s="2"/>
      <c r="E14" s="2"/>
      <c r="F14" s="62"/>
      <c r="G14" s="2"/>
    </row>
    <row r="15" spans="1:7" x14ac:dyDescent="0.35">
      <c r="A15" s="62">
        <f t="shared" si="0"/>
        <v>12</v>
      </c>
      <c r="B15" s="2"/>
      <c r="C15" s="2"/>
      <c r="D15" s="2"/>
      <c r="E15" s="2"/>
      <c r="F15" s="62"/>
      <c r="G15" s="2"/>
    </row>
    <row r="16" spans="1:7" x14ac:dyDescent="0.35">
      <c r="A16" s="62">
        <f t="shared" si="0"/>
        <v>13</v>
      </c>
      <c r="B16" s="2"/>
      <c r="C16" s="2"/>
      <c r="D16" s="2"/>
      <c r="E16" s="2"/>
      <c r="F16" s="62"/>
      <c r="G16" s="2"/>
    </row>
    <row r="17" spans="1:9" x14ac:dyDescent="0.35">
      <c r="A17" s="62">
        <f t="shared" si="0"/>
        <v>14</v>
      </c>
      <c r="B17" s="2"/>
      <c r="C17" s="2"/>
      <c r="D17" s="2"/>
      <c r="E17" s="2"/>
      <c r="F17" s="62"/>
      <c r="G17" s="2"/>
    </row>
    <row r="18" spans="1:9" x14ac:dyDescent="0.35">
      <c r="A18" s="62">
        <f t="shared" si="0"/>
        <v>15</v>
      </c>
      <c r="B18" s="2"/>
      <c r="C18" s="2"/>
      <c r="D18" s="2"/>
      <c r="E18" s="2"/>
      <c r="F18" s="62"/>
      <c r="G18" s="2"/>
    </row>
    <row r="19" spans="1:9" x14ac:dyDescent="0.35">
      <c r="A19" s="62"/>
      <c r="B19" s="2"/>
      <c r="C19" s="2"/>
      <c r="D19" s="2"/>
      <c r="E19" s="2"/>
      <c r="F19" s="62"/>
      <c r="G19" s="2"/>
    </row>
    <row r="20" spans="1:9" ht="15" thickBot="1" x14ac:dyDescent="0.4">
      <c r="A20" s="45"/>
      <c r="B20" s="45"/>
      <c r="C20" s="45"/>
      <c r="D20" s="45"/>
      <c r="E20" s="46" t="s">
        <v>27</v>
      </c>
      <c r="F20" s="63">
        <f>SUM(F4:F7)</f>
        <v>22</v>
      </c>
      <c r="G20" s="2"/>
    </row>
    <row r="21" spans="1:9" ht="15" thickTop="1" x14ac:dyDescent="0.35">
      <c r="A21" s="68"/>
      <c r="B21" s="68"/>
      <c r="C21" s="68"/>
      <c r="D21" s="68"/>
      <c r="E21" s="68"/>
      <c r="F21" s="68"/>
      <c r="G21" s="68"/>
    </row>
    <row r="22" spans="1:9" x14ac:dyDescent="0.35">
      <c r="A22" s="69"/>
      <c r="B22" s="69"/>
      <c r="C22" s="69"/>
      <c r="D22" s="69"/>
      <c r="E22" s="69"/>
      <c r="F22" s="69"/>
      <c r="G22" s="69"/>
    </row>
    <row r="23" spans="1:9" x14ac:dyDescent="0.35">
      <c r="A23" s="96" t="s">
        <v>83</v>
      </c>
      <c r="B23" s="69"/>
      <c r="C23" s="69"/>
      <c r="D23" s="69"/>
      <c r="E23" s="69" t="s">
        <v>31</v>
      </c>
      <c r="F23" s="69"/>
      <c r="G23" s="69" t="s">
        <v>37</v>
      </c>
      <c r="H23" s="18"/>
    </row>
    <row r="24" spans="1:9" x14ac:dyDescent="0.35">
      <c r="A24" s="69" t="s">
        <v>28</v>
      </c>
      <c r="B24" s="69"/>
      <c r="C24" s="69"/>
      <c r="D24" s="69"/>
      <c r="E24" s="69" t="s">
        <v>29</v>
      </c>
      <c r="F24" s="69"/>
      <c r="G24" s="69" t="s">
        <v>30</v>
      </c>
      <c r="H24" s="18"/>
    </row>
    <row r="25" spans="1:9" x14ac:dyDescent="0.35">
      <c r="A25" s="69"/>
      <c r="B25" s="69"/>
      <c r="C25" s="69"/>
      <c r="D25" s="69"/>
      <c r="E25" s="69"/>
      <c r="F25" s="69"/>
      <c r="G25" s="69"/>
    </row>
    <row r="26" spans="1:9" x14ac:dyDescent="0.35">
      <c r="A26" s="119" t="s">
        <v>66</v>
      </c>
      <c r="B26" s="119"/>
      <c r="C26" s="119"/>
      <c r="D26" s="119"/>
      <c r="E26" s="119"/>
      <c r="F26" s="119"/>
      <c r="G26" s="119"/>
      <c r="H26" s="64"/>
      <c r="I26" s="64"/>
    </row>
    <row r="27" spans="1:9" x14ac:dyDescent="0.35">
      <c r="A27" s="82" t="s">
        <v>55</v>
      </c>
      <c r="B27" s="76"/>
      <c r="C27" s="76"/>
      <c r="D27" s="76"/>
      <c r="E27" s="71"/>
      <c r="F27" s="82" t="s">
        <v>56</v>
      </c>
      <c r="G27" s="71"/>
      <c r="H27" s="6"/>
    </row>
    <row r="28" spans="1:9" x14ac:dyDescent="0.35">
      <c r="A28" s="72" t="s">
        <v>54</v>
      </c>
      <c r="B28" s="69"/>
      <c r="C28" s="69"/>
      <c r="D28" s="83">
        <v>10</v>
      </c>
      <c r="E28" s="77" t="s">
        <v>58</v>
      </c>
      <c r="F28" s="117" t="s">
        <v>72</v>
      </c>
      <c r="G28" s="120">
        <f>F20/D28</f>
        <v>2.2000000000000002</v>
      </c>
      <c r="H28" s="6"/>
    </row>
    <row r="29" spans="1:9" x14ac:dyDescent="0.35">
      <c r="A29" s="6" t="s">
        <v>78</v>
      </c>
      <c r="B29" s="69"/>
      <c r="C29" s="69"/>
      <c r="D29" s="88"/>
      <c r="E29" s="77" t="s">
        <v>57</v>
      </c>
      <c r="F29" s="117"/>
      <c r="G29" s="120"/>
      <c r="H29" s="6"/>
    </row>
    <row r="30" spans="1:9" x14ac:dyDescent="0.35">
      <c r="A30" s="81" t="s">
        <v>59</v>
      </c>
      <c r="B30" s="69"/>
      <c r="C30" s="69"/>
      <c r="D30" s="87">
        <v>263.45</v>
      </c>
      <c r="E30" s="77"/>
      <c r="F30" s="72" t="s">
        <v>62</v>
      </c>
      <c r="G30" s="73">
        <f>G28*D30</f>
        <v>579.59</v>
      </c>
      <c r="H30" s="6"/>
    </row>
    <row r="31" spans="1:9" x14ac:dyDescent="0.35">
      <c r="A31" s="78" t="s">
        <v>73</v>
      </c>
      <c r="B31" s="87">
        <v>263.45</v>
      </c>
      <c r="C31" s="70" t="s">
        <v>60</v>
      </c>
      <c r="D31" s="69"/>
      <c r="E31" s="77"/>
      <c r="F31" s="116" t="s">
        <v>76</v>
      </c>
      <c r="G31" s="118">
        <f>F20*D29</f>
        <v>0</v>
      </c>
      <c r="H31" s="6"/>
    </row>
    <row r="32" spans="1:9" x14ac:dyDescent="0.35">
      <c r="A32" s="78" t="s">
        <v>74</v>
      </c>
      <c r="B32" s="87">
        <v>263.45</v>
      </c>
      <c r="C32" s="70" t="s">
        <v>60</v>
      </c>
      <c r="D32" s="69"/>
      <c r="E32" s="77"/>
      <c r="F32" s="117"/>
      <c r="G32" s="118"/>
      <c r="H32" s="6"/>
    </row>
    <row r="33" spans="1:9" x14ac:dyDescent="0.35">
      <c r="A33" s="74"/>
      <c r="B33" s="79"/>
      <c r="C33" s="79"/>
      <c r="D33" s="79"/>
      <c r="E33" s="80"/>
      <c r="F33" s="84" t="s">
        <v>64</v>
      </c>
      <c r="G33" s="75">
        <f>SUM(G30:G32)</f>
        <v>579.59</v>
      </c>
      <c r="H33" s="6"/>
    </row>
    <row r="34" spans="1:9" x14ac:dyDescent="0.35">
      <c r="A34" s="69"/>
      <c r="B34" s="69"/>
      <c r="C34" s="69"/>
      <c r="D34" s="69"/>
      <c r="E34" s="69"/>
      <c r="F34" s="69"/>
      <c r="G34" s="69"/>
    </row>
    <row r="35" spans="1:9" x14ac:dyDescent="0.35">
      <c r="A35" s="69"/>
      <c r="B35" s="69"/>
      <c r="C35" s="69"/>
      <c r="D35" s="69"/>
      <c r="E35" s="69"/>
      <c r="F35" s="69"/>
      <c r="G35" s="69"/>
    </row>
    <row r="36" spans="1:9" x14ac:dyDescent="0.35">
      <c r="A36" s="69"/>
      <c r="B36" s="69"/>
      <c r="C36" s="69"/>
      <c r="D36" s="69"/>
      <c r="E36" s="69"/>
      <c r="F36" s="69"/>
      <c r="G36" s="69"/>
    </row>
    <row r="37" spans="1:9" x14ac:dyDescent="0.35">
      <c r="A37" s="69"/>
      <c r="B37" s="69"/>
      <c r="C37" s="69"/>
      <c r="D37" s="69"/>
      <c r="E37" s="69"/>
      <c r="F37" s="69"/>
      <c r="G37" s="69"/>
      <c r="H37" s="6"/>
      <c r="I37" s="6"/>
    </row>
    <row r="38" spans="1:9" x14ac:dyDescent="0.35">
      <c r="A38" s="69"/>
      <c r="B38" s="69"/>
      <c r="C38" s="69"/>
      <c r="D38" s="69"/>
      <c r="E38" s="69"/>
      <c r="F38" s="69"/>
      <c r="G38" s="69" t="s">
        <v>65</v>
      </c>
    </row>
  </sheetData>
  <mergeCells count="7">
    <mergeCell ref="F31:F32"/>
    <mergeCell ref="G31:G32"/>
    <mergeCell ref="A26:G26"/>
    <mergeCell ref="A1:G1"/>
    <mergeCell ref="C2:D2"/>
    <mergeCell ref="F28:F29"/>
    <mergeCell ref="G28:G29"/>
  </mergeCells>
  <phoneticPr fontId="15" type="noConversion"/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Emp.Categories</vt:lpstr>
      <vt:lpstr>Claim Form-Bikes</vt:lpstr>
      <vt:lpstr>Claim Form-Cars</vt:lpstr>
      <vt:lpstr>'Claim Form-Bikes'!Print_Area</vt:lpstr>
      <vt:lpstr>Emp.Categories!Print_Area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Acc-Hasham</dc:creator>
  <cp:lastModifiedBy>hafizmuhammadahmadamin@gmail.com</cp:lastModifiedBy>
  <cp:lastPrinted>2025-12-05T04:35:19Z</cp:lastPrinted>
  <dcterms:created xsi:type="dcterms:W3CDTF">2021-06-10T10:05:27Z</dcterms:created>
  <dcterms:modified xsi:type="dcterms:W3CDTF">2025-12-13T05:18:04Z</dcterms:modified>
</cp:coreProperties>
</file>